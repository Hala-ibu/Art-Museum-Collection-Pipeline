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8_{0747D5BF-70C4-4121-8F6A-086EE80D2178}" xr6:coauthVersionLast="47" xr6:coauthVersionMax="47" xr10:uidLastSave="{00000000-0000-0000-0000-000000000000}"/>
  <bookViews>
    <workbookView xWindow="-120" yWindow="-120" windowWidth="29040" windowHeight="16440" activeTab="1" xr2:uid="{CB2FABB8-2638-4C7C-9996-333D1AB036AD}"/>
  </bookViews>
  <sheets>
    <sheet name="Museum Inventory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</calcChain>
</file>

<file path=xl/sharedStrings.xml><?xml version="1.0" encoding="utf-8"?>
<sst xmlns="http://schemas.openxmlformats.org/spreadsheetml/2006/main" count="38" uniqueCount="35">
  <si>
    <t>Title</t>
  </si>
  <si>
    <t>Artist</t>
  </si>
  <si>
    <t>Acquisition_Cost</t>
  </si>
  <si>
    <t>Starry Night</t>
  </si>
  <si>
    <t>Vincent van Gogh</t>
  </si>
  <si>
    <t>The Scream</t>
  </si>
  <si>
    <t>Edvard Munch</t>
  </si>
  <si>
    <t>Guernica</t>
  </si>
  <si>
    <t>Pablo Picasso</t>
  </si>
  <si>
    <t>ID</t>
  </si>
  <si>
    <t>Period</t>
  </si>
  <si>
    <t>Type</t>
  </si>
  <si>
    <t>Estimated_Value</t>
  </si>
  <si>
    <t>ART-001</t>
  </si>
  <si>
    <t>Post-Impressionism</t>
  </si>
  <si>
    <t>Painting</t>
  </si>
  <si>
    <t>ART-002</t>
  </si>
  <si>
    <t>Expressionism</t>
  </si>
  <si>
    <t>ART-003</t>
  </si>
  <si>
    <t>David</t>
  </si>
  <si>
    <t>Michelangelo</t>
  </si>
  <si>
    <t>Renaissance</t>
  </si>
  <si>
    <t>Sculpture</t>
  </si>
  <si>
    <t>ART-004</t>
  </si>
  <si>
    <t>The Night Watch</t>
  </si>
  <si>
    <t>Rembrandt</t>
  </si>
  <si>
    <t>Dutch Golden Age</t>
  </si>
  <si>
    <t>ART-005</t>
  </si>
  <si>
    <t>Cubism</t>
  </si>
  <si>
    <t>Metric</t>
  </si>
  <si>
    <t>Value</t>
  </si>
  <si>
    <t>Total Pieces</t>
  </si>
  <si>
    <t>Total Acquisition Cost</t>
  </si>
  <si>
    <t>Average Piece Rating</t>
  </si>
  <si>
    <t>Maximum Estimated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</si>
</sst>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EA5D3-0350-4A0D-A47D-082D1632649B}">
  <dimension ref="A1:G6"/>
  <sheetViews>
    <sheetView workbookViewId="0">
      <selection activeCell="F18" sqref="F18"/>
    </sheetView>
  </sheetViews>
  <sheetFormatPr defaultRowHeight="15"/>
  <cols>
    <col min="1" max="1" width="24.28515625" customWidth="1"/>
    <col min="2" max="2" width="20.140625" customWidth="1"/>
    <col min="3" max="3" width="21" customWidth="1"/>
    <col min="4" max="4" width="23.28515625" customWidth="1"/>
    <col min="5" max="5" width="27.7109375" customWidth="1"/>
    <col min="6" max="6" width="18.85546875" customWidth="1"/>
    <col min="7" max="7" width="21.7109375" customWidth="1"/>
  </cols>
  <sheetData>
    <row r="1" spans="1:7" ht="30.75" thickBot="1">
      <c r="A1" s="1" t="s">
        <v>9</v>
      </c>
      <c r="B1" s="1" t="s">
        <v>0</v>
      </c>
      <c r="C1" s="1" t="s">
        <v>1</v>
      </c>
      <c r="D1" s="1" t="s">
        <v>10</v>
      </c>
      <c r="E1" s="1" t="s">
        <v>11</v>
      </c>
      <c r="F1" s="1" t="s">
        <v>2</v>
      </c>
      <c r="G1" s="1" t="s">
        <v>12</v>
      </c>
    </row>
    <row r="2" spans="1:7" ht="15.75" thickBot="1">
      <c r="A2" s="3" t="s">
        <v>13</v>
      </c>
      <c r="B2" s="3" t="s">
        <v>3</v>
      </c>
      <c r="C2" s="3" t="s">
        <v>4</v>
      </c>
      <c r="D2" s="3" t="s">
        <v>14</v>
      </c>
      <c r="E2" s="3" t="s">
        <v>15</v>
      </c>
      <c r="F2" s="3">
        <v>1000000</v>
      </c>
      <c r="G2" s="3">
        <v>100000000</v>
      </c>
    </row>
    <row r="3" spans="1:7" ht="15.75" thickBot="1">
      <c r="A3" s="3" t="s">
        <v>16</v>
      </c>
      <c r="B3" s="3" t="s">
        <v>5</v>
      </c>
      <c r="C3" s="3" t="s">
        <v>6</v>
      </c>
      <c r="D3" s="3" t="s">
        <v>17</v>
      </c>
      <c r="E3" s="3" t="s">
        <v>15</v>
      </c>
      <c r="F3" s="3">
        <v>1200000</v>
      </c>
      <c r="G3" s="3">
        <v>119900000</v>
      </c>
    </row>
    <row r="4" spans="1:7" ht="15.75" thickBot="1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>
        <v>500000</v>
      </c>
      <c r="G4" s="3">
        <v>200000000</v>
      </c>
    </row>
    <row r="5" spans="1:7" ht="15.75" thickBot="1">
      <c r="A5" s="3" t="s">
        <v>23</v>
      </c>
      <c r="B5" s="3" t="s">
        <v>24</v>
      </c>
      <c r="C5" s="3" t="s">
        <v>25</v>
      </c>
      <c r="D5" s="3" t="s">
        <v>26</v>
      </c>
      <c r="E5" s="3" t="s">
        <v>15</v>
      </c>
      <c r="F5" s="3">
        <v>800000</v>
      </c>
      <c r="G5" s="3">
        <v>150000000</v>
      </c>
    </row>
    <row r="6" spans="1:7" ht="15.75" thickBot="1">
      <c r="A6" s="3" t="s">
        <v>27</v>
      </c>
      <c r="B6" s="3" t="s">
        <v>7</v>
      </c>
      <c r="C6" s="3" t="s">
        <v>8</v>
      </c>
      <c r="D6" s="3" t="s">
        <v>28</v>
      </c>
      <c r="E6" s="3" t="s">
        <v>15</v>
      </c>
      <c r="F6" s="3">
        <v>2000000</v>
      </c>
      <c r="G6" s="3">
        <v>200000000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76169-D0D8-4D96-A8AB-D0A868588A48}">
  <dimension ref="A1:B5"/>
  <sheetViews>
    <sheetView tabSelected="1" workbookViewId="0">
      <selection activeCell="G23" sqref="G23"/>
    </sheetView>
  </sheetViews>
  <sheetFormatPr defaultRowHeight="15"/>
  <cols>
    <col min="1" max="1" width="23" customWidth="1"/>
    <col min="2" max="2" width="26.28515625" customWidth="1"/>
  </cols>
  <sheetData>
    <row r="1" spans="1:2" ht="15.75" thickBot="1">
      <c r="A1" s="1" t="s">
        <v>29</v>
      </c>
      <c r="B1" s="2" t="s">
        <v>30</v>
      </c>
    </row>
    <row r="2" spans="1:2" ht="29.25" thickBot="1">
      <c r="A2" s="3" t="s">
        <v>31</v>
      </c>
      <c r="B2" s="4">
        <f>COUNTA('Museum Inventory'!B2:B6)</f>
        <v>5</v>
      </c>
    </row>
    <row r="3" spans="1:2" ht="57.75" thickBot="1">
      <c r="A3" s="3" t="s">
        <v>32</v>
      </c>
      <c r="B3" s="4">
        <f>SUM('Museum Inventory'!F2:F6)</f>
        <v>5500000</v>
      </c>
    </row>
    <row r="4" spans="1:2" ht="57.75" thickBot="1">
      <c r="A4" s="3" t="s">
        <v>33</v>
      </c>
      <c r="B4" s="4" t="e">
        <f>AVERAGE('Museum Inventory'!H2:H6)</f>
        <v>#DIV/0!</v>
      </c>
    </row>
    <row r="5" spans="1:2" ht="72" thickBot="1">
      <c r="A5" s="3" t="s">
        <v>34</v>
      </c>
      <c r="B5" s="4">
        <f>MAX('Museum Inventory'!G2:G6)</f>
        <v>200000000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Museum Inventory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2026-03-25T11:15:28Z</dcterms:created>
  <dcterms:modified xsi:type="dcterms:W3CDTF">2026-03-25T11:26:12Z</dcterms:modified>
</cp:coreProperties>
</file>